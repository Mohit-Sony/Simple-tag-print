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90" windowWidth="28455" windowHeight="12255" activeTab="1"/>
  </bookViews>
  <sheets>
    <sheet name="SAMPLE" sheetId="1" r:id="rId1"/>
    <sheet name="Sheet3" sheetId="3" r:id="rId2"/>
    <sheet name="TAG" sheetId="2" r:id="rId3"/>
  </sheets>
  <definedNames>
    <definedName name="_xlnm._FilterDatabase" localSheetId="0" hidden="1">SAMPLE!#REF!</definedName>
    <definedName name="_xlnm.Print_Titles" localSheetId="0">SAMPLE!$1:$4</definedName>
  </definedNames>
  <calcPr calcId="124519"/>
</workbook>
</file>

<file path=xl/calcChain.xml><?xml version="1.0" encoding="utf-8"?>
<calcChain xmlns="http://schemas.openxmlformats.org/spreadsheetml/2006/main">
  <c r="AU16" i="1"/>
  <c r="AT16"/>
  <c r="AS16"/>
  <c r="AR16"/>
  <c r="AQ16"/>
  <c r="AP16"/>
  <c r="AU5"/>
  <c r="AT5"/>
  <c r="AS5"/>
  <c r="AR5"/>
  <c r="AQ5"/>
  <c r="AP5"/>
  <c r="W5"/>
  <c r="AL26"/>
  <c r="AL25"/>
  <c r="AL24"/>
  <c r="AL23"/>
  <c r="AL22"/>
  <c r="Q22"/>
  <c r="AL21"/>
  <c r="AA21"/>
  <c r="Z21"/>
  <c r="Q21"/>
  <c r="AL20"/>
  <c r="Q20"/>
  <c r="AL19"/>
  <c r="AG19"/>
  <c r="AC19"/>
  <c r="Q19"/>
  <c r="AL18"/>
  <c r="AC18"/>
  <c r="Q18"/>
  <c r="AL17"/>
  <c r="AI17"/>
  <c r="AI19" s="1"/>
  <c r="AH19" s="1"/>
  <c r="AC17"/>
  <c r="AC21" s="1"/>
  <c r="AB21" s="1"/>
  <c r="Q17"/>
  <c r="H17"/>
  <c r="E16" s="1"/>
  <c r="Q16"/>
  <c r="I16"/>
  <c r="I19" s="1"/>
  <c r="K19" s="1"/>
  <c r="AL15"/>
  <c r="AL14"/>
  <c r="AL13"/>
  <c r="AA13"/>
  <c r="Z13"/>
  <c r="AL12"/>
  <c r="Q12"/>
  <c r="AL11"/>
  <c r="AC11"/>
  <c r="Q11"/>
  <c r="AL10"/>
  <c r="AC10"/>
  <c r="Q10"/>
  <c r="AL9"/>
  <c r="AG9"/>
  <c r="AC9"/>
  <c r="Q9"/>
  <c r="AL8"/>
  <c r="AC8"/>
  <c r="Q8"/>
  <c r="AL7"/>
  <c r="AG7"/>
  <c r="AI7" s="1"/>
  <c r="AC7"/>
  <c r="Q7"/>
  <c r="AL6"/>
  <c r="AI6"/>
  <c r="AI9" s="1"/>
  <c r="AC6"/>
  <c r="AC13" s="1"/>
  <c r="AB13" s="1"/>
  <c r="Q6"/>
  <c r="H6"/>
  <c r="Q5"/>
  <c r="I5"/>
  <c r="I8" s="1"/>
  <c r="K8" s="1"/>
  <c r="E5"/>
  <c r="U5" l="1"/>
  <c r="V5" s="1"/>
  <c r="U16"/>
  <c r="V16" s="1"/>
  <c r="AL5"/>
  <c r="AH9"/>
  <c r="AL16" l="1"/>
  <c r="W16"/>
</calcChain>
</file>

<file path=xl/sharedStrings.xml><?xml version="1.0" encoding="utf-8"?>
<sst xmlns="http://schemas.openxmlformats.org/spreadsheetml/2006/main" count="175" uniqueCount="87">
  <si>
    <t>"श्री"</t>
  </si>
  <si>
    <t xml:space="preserve">                                Rough Estimate                 13/12/2025</t>
  </si>
  <si>
    <t>Basic Description</t>
  </si>
  <si>
    <t>Metal Description</t>
  </si>
  <si>
    <t>Stone Description</t>
  </si>
  <si>
    <t>SR.No.</t>
  </si>
  <si>
    <t>Description</t>
  </si>
  <si>
    <t>Other Wt (Wax+Dak+Etc.) GRM</t>
  </si>
  <si>
    <t>SARAFA WT GRM</t>
  </si>
  <si>
    <t>Metal</t>
  </si>
  <si>
    <t>Gold Wt</t>
  </si>
  <si>
    <t>Wt. 24K</t>
  </si>
  <si>
    <t>24K Gold Price</t>
  </si>
  <si>
    <t>Stone</t>
  </si>
  <si>
    <t>Pcs</t>
  </si>
  <si>
    <t>Weight</t>
  </si>
  <si>
    <t>Price @  (Cts/Pcs)</t>
  </si>
  <si>
    <t>Unit</t>
  </si>
  <si>
    <t>Stone Amt.</t>
  </si>
  <si>
    <t>Labour Name</t>
  </si>
  <si>
    <t>Lab.Amt</t>
  </si>
  <si>
    <t>Margin %</t>
  </si>
  <si>
    <t>St. &amp; Lab. &amp; Mar.Amt.</t>
  </si>
  <si>
    <t>Total Amt. With Gold</t>
  </si>
  <si>
    <t>Tag No.</t>
  </si>
  <si>
    <t>POLKI DETAIL</t>
  </si>
  <si>
    <t>DIFF.</t>
  </si>
  <si>
    <t>BCF0009</t>
  </si>
  <si>
    <t>GOLD 18K</t>
  </si>
  <si>
    <t>DIAMOND</t>
  </si>
  <si>
    <t>Cts</t>
  </si>
  <si>
    <t>POLKI</t>
  </si>
  <si>
    <t>PC</t>
  </si>
  <si>
    <t>WT</t>
  </si>
  <si>
    <t>@</t>
  </si>
  <si>
    <t>TOTAL</t>
  </si>
  <si>
    <t>Item</t>
  </si>
  <si>
    <t>CHOKKER</t>
  </si>
  <si>
    <t>KUNDAN (20% Wst.)</t>
  </si>
  <si>
    <t>EMERALD</t>
  </si>
  <si>
    <t>Jadai Labour</t>
  </si>
  <si>
    <t>-10</t>
  </si>
  <si>
    <t>0.40-0.49</t>
  </si>
  <si>
    <t>Gr Wt.</t>
  </si>
  <si>
    <t xml:space="preserve">POLKI </t>
  </si>
  <si>
    <t>10-14</t>
  </si>
  <si>
    <t>0.30-0.39</t>
  </si>
  <si>
    <t>Purity</t>
  </si>
  <si>
    <t>18K</t>
  </si>
  <si>
    <t>24K GOLD</t>
  </si>
  <si>
    <t>14-18</t>
  </si>
  <si>
    <t>EMERALD BEADS</t>
  </si>
  <si>
    <t>18-24</t>
  </si>
  <si>
    <t>Moti ( S )</t>
  </si>
  <si>
    <t>24-28</t>
  </si>
  <si>
    <t>EMERALD MANI</t>
  </si>
  <si>
    <t>Utrai Cab</t>
  </si>
  <si>
    <t>BCF0010</t>
  </si>
  <si>
    <t>EARRING</t>
  </si>
  <si>
    <t>BCF0011</t>
  </si>
  <si>
    <t>NECKLACE</t>
  </si>
  <si>
    <t>BCF0022</t>
  </si>
  <si>
    <t>14K</t>
  </si>
  <si>
    <t>BCF0023</t>
  </si>
  <si>
    <t>BCF0036</t>
  </si>
  <si>
    <t>Necklace</t>
  </si>
  <si>
    <t>BCF0037</t>
  </si>
  <si>
    <t>Earring</t>
  </si>
  <si>
    <t>BCF0038</t>
  </si>
  <si>
    <t>NECKALCE</t>
  </si>
  <si>
    <t>BCF0039</t>
  </si>
  <si>
    <t>BCF0042</t>
  </si>
  <si>
    <t>BCF0043</t>
  </si>
  <si>
    <t>BCF0059</t>
  </si>
  <si>
    <t>CH + ER</t>
  </si>
  <si>
    <t>BCF0062</t>
  </si>
  <si>
    <t>BCF0063</t>
  </si>
  <si>
    <t>BCF0173</t>
  </si>
  <si>
    <t xml:space="preserve">LINE </t>
  </si>
  <si>
    <t>BCF0174</t>
  </si>
  <si>
    <t>24K</t>
  </si>
  <si>
    <t>NO. 35400</t>
  </si>
  <si>
    <t>NO. 3100</t>
  </si>
  <si>
    <t>SKU</t>
  </si>
  <si>
    <t>ITEM</t>
  </si>
  <si>
    <t>G.WT.</t>
  </si>
  <si>
    <t>No.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</si>
</sst>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00"/>
  </numFmts>
  <fonts count="19"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b/>
      <sz val="16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Tahoma"/>
      <family val="2"/>
    </font>
    <font>
      <sz val="11"/>
      <name val="Calibri"/>
      <family val="2"/>
      <scheme val="minor"/>
    </font>
    <font>
      <sz val="11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1"/>
      <name val="Calibri"/>
      <family val="2"/>
    </font>
    <font>
      <b/>
      <sz val="12"/>
      <name val="Tahoma"/>
      <family val="2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>
      <alignment vertical="center"/>
    </xf>
  </cellStyleXfs>
  <cellXfs count="142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/>
    <xf numFmtId="0" fontId="2" fillId="2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9" fontId="6" fillId="0" borderId="11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wrapText="1"/>
    </xf>
    <xf numFmtId="0" fontId="8" fillId="0" borderId="7" xfId="0" applyFont="1" applyFill="1" applyBorder="1" applyAlignment="1"/>
    <xf numFmtId="0" fontId="8" fillId="0" borderId="7" xfId="0" applyFont="1" applyFill="1" applyBorder="1" applyAlignment="1">
      <alignment horizontal="right"/>
    </xf>
    <xf numFmtId="0" fontId="9" fillId="3" borderId="4" xfId="0" applyFont="1" applyFill="1" applyBorder="1"/>
    <xf numFmtId="0" fontId="8" fillId="3" borderId="7" xfId="0" applyFont="1" applyFill="1" applyBorder="1" applyAlignment="1">
      <alignment horizontal="center"/>
    </xf>
    <xf numFmtId="164" fontId="2" fillId="0" borderId="8" xfId="0" applyNumberFormat="1" applyFont="1" applyFill="1" applyBorder="1"/>
    <xf numFmtId="164" fontId="8" fillId="0" borderId="7" xfId="0" applyNumberFormat="1" applyFont="1" applyFill="1" applyBorder="1"/>
    <xf numFmtId="0" fontId="8" fillId="0" borderId="7" xfId="0" applyFont="1" applyFill="1" applyBorder="1"/>
    <xf numFmtId="164" fontId="8" fillId="0" borderId="4" xfId="0" applyNumberFormat="1" applyFont="1" applyFill="1" applyBorder="1"/>
    <xf numFmtId="1" fontId="8" fillId="0" borderId="7" xfId="0" applyNumberFormat="1" applyFont="1" applyFill="1" applyBorder="1"/>
    <xf numFmtId="0" fontId="8" fillId="0" borderId="4" xfId="0" applyFont="1" applyFill="1" applyBorder="1"/>
    <xf numFmtId="165" fontId="8" fillId="0" borderId="4" xfId="0" applyNumberFormat="1" applyFont="1" applyFill="1" applyBorder="1"/>
    <xf numFmtId="1" fontId="8" fillId="0" borderId="4" xfId="0" applyNumberFormat="1" applyFont="1" applyFill="1" applyBorder="1" applyAlignment="1">
      <alignment horizontal="center"/>
    </xf>
    <xf numFmtId="9" fontId="9" fillId="0" borderId="7" xfId="0" applyNumberFormat="1" applyFont="1" applyFill="1" applyBorder="1"/>
    <xf numFmtId="1" fontId="9" fillId="0" borderId="7" xfId="0" applyNumberFormat="1" applyFont="1" applyFill="1" applyBorder="1"/>
    <xf numFmtId="1" fontId="10" fillId="2" borderId="7" xfId="0" applyNumberFormat="1" applyFont="1" applyFill="1" applyBorder="1"/>
    <xf numFmtId="1" fontId="10" fillId="0" borderId="7" xfId="0" applyNumberFormat="1" applyFont="1" applyFill="1" applyBorder="1"/>
    <xf numFmtId="1" fontId="10" fillId="3" borderId="8" xfId="0" applyNumberFormat="1" applyFont="1" applyFill="1" applyBorder="1"/>
    <xf numFmtId="0" fontId="11" fillId="0" borderId="2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/>
    </xf>
    <xf numFmtId="0" fontId="12" fillId="0" borderId="0" xfId="0" applyFont="1" applyFill="1"/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8" fillId="0" borderId="0" xfId="0" applyFont="1" applyFill="1"/>
    <xf numFmtId="1" fontId="14" fillId="0" borderId="0" xfId="0" applyNumberFormat="1" applyFont="1" applyFill="1"/>
    <xf numFmtId="1" fontId="8" fillId="0" borderId="0" xfId="0" applyNumberFormat="1" applyFont="1" applyFill="1" applyAlignment="1">
      <alignment horizontal="right"/>
    </xf>
    <xf numFmtId="0" fontId="8" fillId="0" borderId="18" xfId="0" applyFont="1" applyFill="1" applyBorder="1" applyAlignment="1"/>
    <xf numFmtId="0" fontId="8" fillId="0" borderId="18" xfId="0" applyFont="1" applyFill="1" applyBorder="1" applyAlignment="1">
      <alignment horizontal="right"/>
    </xf>
    <xf numFmtId="0" fontId="8" fillId="3" borderId="0" xfId="0" applyFont="1" applyFill="1" applyBorder="1"/>
    <xf numFmtId="0" fontId="8" fillId="3" borderId="18" xfId="0" applyFont="1" applyFill="1" applyBorder="1" applyAlignment="1">
      <alignment horizontal="center"/>
    </xf>
    <xf numFmtId="164" fontId="8" fillId="0" borderId="18" xfId="0" applyNumberFormat="1" applyFont="1" applyFill="1" applyBorder="1"/>
    <xf numFmtId="0" fontId="8" fillId="0" borderId="18" xfId="0" applyFont="1" applyFill="1" applyBorder="1"/>
    <xf numFmtId="164" fontId="8" fillId="0" borderId="0" xfId="0" applyNumberFormat="1" applyFont="1" applyFill="1" applyBorder="1"/>
    <xf numFmtId="0" fontId="8" fillId="0" borderId="0" xfId="0" applyFont="1" applyFill="1" applyBorder="1"/>
    <xf numFmtId="165" fontId="8" fillId="0" borderId="0" xfId="0" applyNumberFormat="1" applyFont="1" applyFill="1" applyBorder="1"/>
    <xf numFmtId="1" fontId="8" fillId="0" borderId="0" xfId="0" applyNumberFormat="1" applyFont="1" applyFill="1" applyBorder="1" applyAlignment="1">
      <alignment horizontal="center"/>
    </xf>
    <xf numFmtId="1" fontId="8" fillId="0" borderId="18" xfId="0" applyNumberFormat="1" applyFont="1" applyFill="1" applyBorder="1"/>
    <xf numFmtId="0" fontId="10" fillId="0" borderId="18" xfId="0" applyFont="1" applyFill="1" applyBorder="1"/>
    <xf numFmtId="0" fontId="8" fillId="2" borderId="18" xfId="0" applyFont="1" applyFill="1" applyBorder="1"/>
    <xf numFmtId="0" fontId="8" fillId="0" borderId="19" xfId="0" applyFont="1" applyFill="1" applyBorder="1"/>
    <xf numFmtId="0" fontId="11" fillId="0" borderId="14" xfId="0" quotePrefix="1" applyFont="1" applyFill="1" applyBorder="1" applyAlignment="1">
      <alignment horizontal="center"/>
    </xf>
    <xf numFmtId="0" fontId="11" fillId="0" borderId="9" xfId="0" applyFont="1" applyFill="1" applyBorder="1"/>
    <xf numFmtId="2" fontId="11" fillId="0" borderId="9" xfId="0" applyNumberFormat="1" applyFont="1" applyFill="1" applyBorder="1"/>
    <xf numFmtId="0" fontId="11" fillId="0" borderId="9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1" fontId="11" fillId="0" borderId="9" xfId="0" applyNumberFormat="1" applyFont="1" applyFill="1" applyBorder="1" applyAlignment="1">
      <alignment horizontal="center"/>
    </xf>
    <xf numFmtId="2" fontId="11" fillId="0" borderId="9" xfId="0" applyNumberFormat="1" applyFont="1" applyFill="1" applyBorder="1" applyAlignment="1">
      <alignment horizontal="center"/>
    </xf>
    <xf numFmtId="1" fontId="11" fillId="0" borderId="21" xfId="0" applyNumberFormat="1" applyFont="1" applyFill="1" applyBorder="1" applyAlignment="1">
      <alignment horizontal="center" vertical="center"/>
    </xf>
    <xf numFmtId="2" fontId="8" fillId="3" borderId="18" xfId="0" applyNumberFormat="1" applyFont="1" applyFill="1" applyBorder="1" applyAlignment="1">
      <alignment horizontal="center"/>
    </xf>
    <xf numFmtId="1" fontId="8" fillId="0" borderId="0" xfId="0" applyNumberFormat="1" applyFont="1" applyFill="1" applyBorder="1"/>
    <xf numFmtId="0" fontId="9" fillId="0" borderId="7" xfId="0" applyFont="1" applyFill="1" applyBorder="1"/>
    <xf numFmtId="164" fontId="9" fillId="0" borderId="4" xfId="0" applyNumberFormat="1" applyFont="1" applyFill="1" applyBorder="1"/>
    <xf numFmtId="164" fontId="9" fillId="3" borderId="4" xfId="0" applyNumberFormat="1" applyFont="1" applyFill="1" applyBorder="1"/>
    <xf numFmtId="0" fontId="9" fillId="0" borderId="7" xfId="0" applyNumberFormat="1" applyFont="1" applyFill="1" applyBorder="1"/>
    <xf numFmtId="2" fontId="8" fillId="0" borderId="18" xfId="0" applyNumberFormat="1" applyFont="1" applyFill="1" applyBorder="1" applyAlignment="1">
      <alignment horizontal="center"/>
    </xf>
    <xf numFmtId="1" fontId="9" fillId="0" borderId="18" xfId="0" applyNumberFormat="1" applyFont="1" applyFill="1" applyBorder="1"/>
    <xf numFmtId="0" fontId="11" fillId="0" borderId="22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2" fontId="11" fillId="0" borderId="23" xfId="0" applyNumberFormat="1" applyFont="1" applyFill="1" applyBorder="1" applyAlignment="1">
      <alignment horizontal="center" vertical="center"/>
    </xf>
    <xf numFmtId="1" fontId="11" fillId="0" borderId="23" xfId="0" applyNumberFormat="1" applyFont="1" applyFill="1" applyBorder="1" applyAlignment="1">
      <alignment horizontal="center" vertical="center"/>
    </xf>
    <xf numFmtId="1" fontId="11" fillId="0" borderId="24" xfId="0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/>
    </xf>
    <xf numFmtId="2" fontId="8" fillId="0" borderId="0" xfId="0" applyNumberFormat="1" applyFont="1" applyFill="1" applyBorder="1"/>
    <xf numFmtId="1" fontId="11" fillId="0" borderId="9" xfId="0" applyNumberFormat="1" applyFont="1" applyFill="1" applyBorder="1"/>
    <xf numFmtId="0" fontId="12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0" fontId="11" fillId="0" borderId="12" xfId="0" applyFont="1" applyFill="1" applyBorder="1" applyAlignment="1">
      <alignment horizontal="center"/>
    </xf>
    <xf numFmtId="0" fontId="11" fillId="0" borderId="12" xfId="0" applyFont="1" applyFill="1" applyBorder="1"/>
    <xf numFmtId="2" fontId="11" fillId="0" borderId="12" xfId="0" applyNumberFormat="1" applyFont="1" applyFill="1" applyBorder="1"/>
    <xf numFmtId="1" fontId="11" fillId="0" borderId="12" xfId="0" applyNumberFormat="1" applyFont="1" applyFill="1" applyBorder="1" applyAlignment="1">
      <alignment horizontal="center"/>
    </xf>
    <xf numFmtId="1" fontId="11" fillId="0" borderId="13" xfId="0" applyNumberFormat="1" applyFont="1" applyFill="1" applyBorder="1"/>
    <xf numFmtId="0" fontId="8" fillId="0" borderId="18" xfId="0" applyFont="1" applyFill="1" applyBorder="1" applyAlignment="1">
      <alignment horizontal="right"/>
    </xf>
    <xf numFmtId="0" fontId="8" fillId="0" borderId="25" xfId="0" applyFont="1" applyFill="1" applyBorder="1" applyAlignment="1"/>
    <xf numFmtId="0" fontId="8" fillId="0" borderId="25" xfId="0" applyFont="1" applyFill="1" applyBorder="1"/>
    <xf numFmtId="0" fontId="8" fillId="0" borderId="26" xfId="0" applyFont="1" applyFill="1" applyBorder="1"/>
    <xf numFmtId="0" fontId="8" fillId="0" borderId="25" xfId="0" applyFont="1" applyFill="1" applyBorder="1" applyAlignment="1">
      <alignment horizontal="center"/>
    </xf>
    <xf numFmtId="164" fontId="8" fillId="0" borderId="25" xfId="0" applyNumberFormat="1" applyFont="1" applyFill="1" applyBorder="1"/>
    <xf numFmtId="1" fontId="8" fillId="0" borderId="25" xfId="0" applyNumberFormat="1" applyFont="1" applyFill="1" applyBorder="1"/>
    <xf numFmtId="1" fontId="8" fillId="0" borderId="26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1" fontId="11" fillId="0" borderId="0" xfId="0" applyNumberFormat="1" applyFont="1" applyFill="1"/>
    <xf numFmtId="0" fontId="10" fillId="0" borderId="25" xfId="0" applyFont="1" applyFill="1" applyBorder="1"/>
    <xf numFmtId="0" fontId="8" fillId="2" borderId="25" xfId="0" applyFont="1" applyFill="1" applyBorder="1"/>
    <xf numFmtId="1" fontId="8" fillId="0" borderId="0" xfId="0" applyNumberFormat="1" applyFont="1" applyFill="1"/>
    <xf numFmtId="2" fontId="8" fillId="0" borderId="0" xfId="0" applyNumberFormat="1" applyFont="1" applyFill="1"/>
    <xf numFmtId="0" fontId="8" fillId="0" borderId="27" xfId="0" applyFont="1" applyFill="1" applyBorder="1"/>
    <xf numFmtId="0" fontId="8" fillId="0" borderId="28" xfId="0" applyFont="1" applyFill="1" applyBorder="1" applyAlignment="1">
      <alignment horizontal="center"/>
    </xf>
    <xf numFmtId="2" fontId="8" fillId="0" borderId="28" xfId="0" applyNumberFormat="1" applyFont="1" applyFill="1" applyBorder="1" applyAlignment="1">
      <alignment horizontal="center"/>
    </xf>
    <xf numFmtId="0" fontId="8" fillId="0" borderId="30" xfId="0" applyFont="1" applyFill="1" applyBorder="1" applyAlignment="1">
      <alignment horizontal="center"/>
    </xf>
    <xf numFmtId="0" fontId="0" fillId="0" borderId="0" xfId="0" applyBorder="1"/>
    <xf numFmtId="0" fontId="0" fillId="0" borderId="26" xfId="0" applyBorder="1"/>
    <xf numFmtId="0" fontId="2" fillId="0" borderId="0" xfId="0" applyFont="1" applyFill="1" applyAlignment="1"/>
    <xf numFmtId="0" fontId="5" fillId="0" borderId="0" xfId="0" applyFont="1" applyFill="1"/>
    <xf numFmtId="0" fontId="16" fillId="0" borderId="7" xfId="0" applyFont="1" applyFill="1" applyBorder="1" applyAlignment="1">
      <alignment horizontal="left"/>
    </xf>
    <xf numFmtId="0" fontId="16" fillId="0" borderId="29" xfId="0" applyFont="1" applyFill="1" applyBorder="1" applyAlignment="1">
      <alignment horizontal="left"/>
    </xf>
    <xf numFmtId="0" fontId="0" fillId="0" borderId="4" xfId="0" applyBorder="1"/>
    <xf numFmtId="0" fontId="17" fillId="0" borderId="7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164" fontId="8" fillId="0" borderId="0" xfId="0" applyNumberFormat="1" applyFont="1" applyFill="1"/>
    <xf numFmtId="0" fontId="0" fillId="0" borderId="0" xfId="0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4</xdr:row>
      <xdr:rowOff>19050</xdr:rowOff>
    </xdr:from>
    <xdr:ext cx="1187578" cy="1130258"/>
    <xdr:pic>
      <xdr:nvPicPr>
        <xdr:cNvPr id="2" name="Picture 1" descr="BCD0058 (1)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1085850"/>
          <a:ext cx="1187578" cy="1130258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15</xdr:row>
      <xdr:rowOff>28575</xdr:rowOff>
    </xdr:from>
    <xdr:ext cx="1135895" cy="1092419"/>
    <xdr:pic>
      <xdr:nvPicPr>
        <xdr:cNvPr id="3" name="Picture 2" descr="BCD0059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225" y="3219450"/>
          <a:ext cx="1135895" cy="10924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AU26"/>
  <sheetViews>
    <sheetView zoomScale="160" zoomScaleNormal="160" workbookViewId="0">
      <pane ySplit="4" topLeftCell="A5" activePane="bottomLeft" state="frozen"/>
      <selection activeCell="T41" sqref="T41"/>
      <selection pane="bottomLeft" activeCell="AP5" sqref="AP5:AU5"/>
    </sheetView>
  </sheetViews>
  <sheetFormatPr defaultColWidth="9.140625" defaultRowHeight="12.75"/>
  <cols>
    <col min="1" max="1" width="3.42578125" style="127" customWidth="1"/>
    <col min="2" max="2" width="18.85546875" style="5" customWidth="1"/>
    <col min="3" max="3" width="9.85546875" style="5" customWidth="1"/>
    <col min="4" max="4" width="10.7109375" style="6" customWidth="1"/>
    <col min="5" max="5" width="9.28515625" style="5" hidden="1" customWidth="1"/>
    <col min="6" max="6" width="7" style="5" hidden="1" customWidth="1"/>
    <col min="7" max="7" width="15.7109375" style="5" hidden="1" customWidth="1"/>
    <col min="8" max="8" width="7.42578125" style="5" hidden="1" customWidth="1"/>
    <col min="9" max="9" width="10.5703125" style="5" customWidth="1"/>
    <col min="10" max="10" width="8.85546875" style="5" hidden="1" customWidth="1"/>
    <col min="11" max="11" width="11.5703125" style="5" hidden="1" customWidth="1"/>
    <col min="12" max="12" width="15.140625" style="5" hidden="1" customWidth="1"/>
    <col min="13" max="13" width="4.42578125" style="5" hidden="1" customWidth="1"/>
    <col min="14" max="14" width="7.7109375" style="5" hidden="1" customWidth="1"/>
    <col min="15" max="15" width="8.7109375" style="5" hidden="1" customWidth="1"/>
    <col min="16" max="17" width="9.140625" style="5" hidden="1" customWidth="1"/>
    <col min="18" max="18" width="14.85546875" style="5" hidden="1" customWidth="1"/>
    <col min="19" max="20" width="9.140625" style="5" hidden="1" customWidth="1"/>
    <col min="21" max="21" width="12" style="128" hidden="1" customWidth="1"/>
    <col min="22" max="22" width="11.140625" style="4" hidden="1" customWidth="1"/>
    <col min="23" max="23" width="11.140625" style="5" hidden="1" customWidth="1"/>
    <col min="24" max="24" width="11.140625" style="5" customWidth="1"/>
    <col min="25" max="25" width="11" style="5" hidden="1" customWidth="1"/>
    <col min="26" max="26" width="5.28515625" style="5" hidden="1" customWidth="1"/>
    <col min="27" max="27" width="6.42578125" style="5" hidden="1" customWidth="1"/>
    <col min="28" max="28" width="7.5703125" style="6" hidden="1" customWidth="1"/>
    <col min="29" max="29" width="10" style="5" hidden="1" customWidth="1"/>
    <col min="30" max="30" width="2.140625" style="5" hidden="1" customWidth="1"/>
    <col min="31" max="31" width="10.42578125" style="5" hidden="1" customWidth="1"/>
    <col min="32" max="32" width="5.5703125" style="5" hidden="1" customWidth="1"/>
    <col min="33" max="33" width="6" style="6" hidden="1" customWidth="1"/>
    <col min="34" max="34" width="7.5703125" style="6" hidden="1" customWidth="1"/>
    <col min="35" max="35" width="8.7109375" style="6" hidden="1" customWidth="1"/>
    <col min="36" max="36" width="7" style="5" hidden="1" customWidth="1"/>
    <col min="37" max="37" width="14.85546875" style="7" hidden="1" customWidth="1"/>
    <col min="38" max="38" width="9.140625" style="8" hidden="1" customWidth="1"/>
    <col min="39" max="40" width="9.140625" style="5" hidden="1" customWidth="1"/>
    <col min="41" max="45" width="9.140625" style="5" customWidth="1"/>
    <col min="46" max="16384" width="9.140625" style="5"/>
  </cols>
  <sheetData>
    <row r="1" spans="1:47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47" ht="19.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3"/>
    </row>
    <row r="3" spans="1:47" ht="10.5" customHeight="1" thickBot="1">
      <c r="A3" s="10" t="s">
        <v>2</v>
      </c>
      <c r="B3" s="11"/>
      <c r="C3" s="11"/>
      <c r="D3" s="12"/>
      <c r="E3" s="13"/>
      <c r="F3" s="14"/>
      <c r="G3" s="15" t="s">
        <v>3</v>
      </c>
      <c r="H3" s="16"/>
      <c r="I3" s="16"/>
      <c r="J3" s="16"/>
      <c r="K3" s="17"/>
      <c r="L3" s="16" t="s">
        <v>4</v>
      </c>
      <c r="M3" s="16"/>
      <c r="N3" s="16"/>
      <c r="O3" s="16"/>
      <c r="P3" s="16"/>
      <c r="Q3" s="17"/>
      <c r="R3" s="14"/>
      <c r="S3" s="18"/>
      <c r="T3" s="18"/>
      <c r="U3" s="19"/>
      <c r="V3" s="20"/>
      <c r="W3" s="21"/>
      <c r="X3" s="21"/>
    </row>
    <row r="4" spans="1:47" ht="39" customHeight="1" thickBot="1">
      <c r="A4" s="22" t="s">
        <v>5</v>
      </c>
      <c r="B4" s="23" t="s">
        <v>6</v>
      </c>
      <c r="C4" s="24"/>
      <c r="D4" s="24"/>
      <c r="E4" s="25" t="s">
        <v>7</v>
      </c>
      <c r="F4" s="25" t="s">
        <v>8</v>
      </c>
      <c r="G4" s="26" t="s">
        <v>9</v>
      </c>
      <c r="H4" s="26" t="s">
        <v>10</v>
      </c>
      <c r="I4" s="25" t="s">
        <v>11</v>
      </c>
      <c r="J4" s="26" t="s">
        <v>12</v>
      </c>
      <c r="K4" s="25" t="s">
        <v>12</v>
      </c>
      <c r="L4" s="26" t="s">
        <v>13</v>
      </c>
      <c r="M4" s="26" t="s">
        <v>14</v>
      </c>
      <c r="N4" s="26" t="s">
        <v>15</v>
      </c>
      <c r="O4" s="26" t="s">
        <v>16</v>
      </c>
      <c r="P4" s="25" t="s">
        <v>17</v>
      </c>
      <c r="Q4" s="26" t="s">
        <v>18</v>
      </c>
      <c r="R4" s="25" t="s">
        <v>19</v>
      </c>
      <c r="S4" s="25" t="s">
        <v>20</v>
      </c>
      <c r="T4" s="27" t="s">
        <v>21</v>
      </c>
      <c r="U4" s="27" t="s">
        <v>22</v>
      </c>
      <c r="V4" s="28" t="s">
        <v>23</v>
      </c>
      <c r="W4" s="29">
        <v>1.45</v>
      </c>
      <c r="X4" s="30" t="s">
        <v>24</v>
      </c>
      <c r="Y4" s="31" t="s">
        <v>25</v>
      </c>
      <c r="Z4" s="31"/>
      <c r="AA4" s="31"/>
      <c r="AB4" s="31"/>
      <c r="AC4" s="31"/>
      <c r="AD4" s="31"/>
      <c r="AE4" s="31"/>
      <c r="AF4" s="31"/>
      <c r="AG4" s="31"/>
      <c r="AH4" s="31"/>
      <c r="AI4" s="32"/>
      <c r="AJ4" s="33"/>
      <c r="AK4" s="34" t="s">
        <v>23</v>
      </c>
      <c r="AL4" s="8" t="s">
        <v>26</v>
      </c>
      <c r="AM4" s="8"/>
    </row>
    <row r="5" spans="1:47" s="58" customFormat="1" ht="15.75" thickBot="1">
      <c r="A5" s="35">
        <v>1</v>
      </c>
      <c r="B5" s="36"/>
      <c r="C5" s="37" t="s">
        <v>27</v>
      </c>
      <c r="D5" s="38"/>
      <c r="E5" s="39">
        <f>D7-((SUM(N5:N14)/5)+(SUM(H5:H7)+F5))</f>
        <v>9.5086666666666417</v>
      </c>
      <c r="F5" s="40">
        <v>22.96</v>
      </c>
      <c r="G5" s="41" t="s">
        <v>28</v>
      </c>
      <c r="H5" s="42">
        <v>138.96</v>
      </c>
      <c r="I5" s="42">
        <f>H5*88%</f>
        <v>122.2848</v>
      </c>
      <c r="J5" s="40"/>
      <c r="K5" s="43"/>
      <c r="L5" s="41" t="s">
        <v>29</v>
      </c>
      <c r="M5" s="44">
        <v>936</v>
      </c>
      <c r="N5" s="45">
        <v>13.79</v>
      </c>
      <c r="O5" s="44">
        <v>23500</v>
      </c>
      <c r="P5" s="46" t="s">
        <v>30</v>
      </c>
      <c r="Q5" s="43">
        <f t="shared" ref="Q5:Q11" si="0">N5*O5</f>
        <v>324065</v>
      </c>
      <c r="R5" s="41"/>
      <c r="S5" s="43"/>
      <c r="T5" s="47"/>
      <c r="U5" s="48">
        <f>(SUM(Q5:S13)+SUM(K5:K13))*T5</f>
        <v>0</v>
      </c>
      <c r="V5" s="49">
        <f>SUM(Q5:U13)+SUM(K5:K13)</f>
        <v>2395318.92</v>
      </c>
      <c r="W5" s="50">
        <f>(V5*200%)/100</f>
        <v>47906.378400000001</v>
      </c>
      <c r="X5" s="51">
        <v>35400</v>
      </c>
      <c r="Y5" s="52" t="s">
        <v>31</v>
      </c>
      <c r="Z5" s="52"/>
      <c r="AA5" s="52"/>
      <c r="AB5" s="52"/>
      <c r="AC5" s="53"/>
      <c r="AD5" s="54"/>
      <c r="AE5" s="55"/>
      <c r="AF5" s="56" t="s">
        <v>32</v>
      </c>
      <c r="AG5" s="56" t="s">
        <v>33</v>
      </c>
      <c r="AH5" s="56" t="s">
        <v>34</v>
      </c>
      <c r="AI5" s="57" t="s">
        <v>35</v>
      </c>
      <c r="AK5" s="59">
        <v>2438418.0379999997</v>
      </c>
      <c r="AL5" s="60">
        <f>+V5-AK5</f>
        <v>-43099.117999999784</v>
      </c>
      <c r="AP5" s="58" t="str">
        <f>+C5</f>
        <v>BCF0009</v>
      </c>
      <c r="AQ5" s="58" t="str">
        <f>+D6</f>
        <v>CHOKKER</v>
      </c>
      <c r="AR5" s="120">
        <f>+D7</f>
        <v>203.16</v>
      </c>
      <c r="AS5" s="58" t="str">
        <f>+D8</f>
        <v>18K</v>
      </c>
      <c r="AT5" s="140">
        <f>+I8</f>
        <v>125.3848</v>
      </c>
      <c r="AU5" s="119">
        <f>+X5</f>
        <v>35400</v>
      </c>
    </row>
    <row r="6" spans="1:47" s="58" customFormat="1" ht="15">
      <c r="A6" s="61"/>
      <c r="B6" s="62"/>
      <c r="C6" s="63" t="s">
        <v>36</v>
      </c>
      <c r="D6" s="64" t="s">
        <v>37</v>
      </c>
      <c r="E6" s="65"/>
      <c r="F6" s="65"/>
      <c r="G6" s="66" t="s">
        <v>38</v>
      </c>
      <c r="H6" s="67">
        <f>I6*100/120</f>
        <v>2.5833333333333335</v>
      </c>
      <c r="I6" s="67">
        <v>3.1</v>
      </c>
      <c r="J6" s="65"/>
      <c r="K6" s="65"/>
      <c r="L6" s="66" t="s">
        <v>39</v>
      </c>
      <c r="M6" s="68">
        <v>49</v>
      </c>
      <c r="N6" s="69">
        <v>22.06</v>
      </c>
      <c r="O6" s="68">
        <v>3650</v>
      </c>
      <c r="P6" s="70" t="s">
        <v>30</v>
      </c>
      <c r="Q6" s="71">
        <f t="shared" si="0"/>
        <v>80519</v>
      </c>
      <c r="R6" s="71" t="s">
        <v>40</v>
      </c>
      <c r="S6" s="71">
        <v>2750</v>
      </c>
      <c r="T6" s="72"/>
      <c r="U6" s="72"/>
      <c r="V6" s="73"/>
      <c r="W6" s="66"/>
      <c r="X6" s="74"/>
      <c r="Y6" s="75" t="s">
        <v>41</v>
      </c>
      <c r="Z6" s="76">
        <v>81</v>
      </c>
      <c r="AA6" s="77">
        <v>2.56</v>
      </c>
      <c r="AB6" s="78">
        <v>7500</v>
      </c>
      <c r="AC6" s="76">
        <f t="shared" ref="AC6:AC11" si="1">+AA6*AB6</f>
        <v>19200</v>
      </c>
      <c r="AD6" s="54"/>
      <c r="AE6" s="79" t="s">
        <v>42</v>
      </c>
      <c r="AF6" s="80">
        <v>2</v>
      </c>
      <c r="AG6" s="81">
        <v>0.95</v>
      </c>
      <c r="AH6" s="78">
        <v>27000</v>
      </c>
      <c r="AI6" s="82">
        <f>AG6*AH6</f>
        <v>25650</v>
      </c>
      <c r="AK6" s="59"/>
      <c r="AL6" s="60">
        <f t="shared" ref="AL6:AL26" si="2">+V6-AK6</f>
        <v>0</v>
      </c>
    </row>
    <row r="7" spans="1:47" s="58" customFormat="1" ht="15">
      <c r="A7" s="61"/>
      <c r="B7" s="62"/>
      <c r="C7" s="63" t="s">
        <v>43</v>
      </c>
      <c r="D7" s="83">
        <v>203.16</v>
      </c>
      <c r="E7" s="65"/>
      <c r="F7" s="65"/>
      <c r="G7" s="66"/>
      <c r="H7" s="67"/>
      <c r="I7" s="67"/>
      <c r="J7" s="65"/>
      <c r="K7" s="65"/>
      <c r="L7" s="66" t="s">
        <v>44</v>
      </c>
      <c r="M7" s="68">
        <v>211</v>
      </c>
      <c r="N7" s="69">
        <v>13.43</v>
      </c>
      <c r="O7" s="84">
        <v>14410</v>
      </c>
      <c r="P7" s="70" t="s">
        <v>30</v>
      </c>
      <c r="Q7" s="71">
        <f t="shared" si="0"/>
        <v>193526.3</v>
      </c>
      <c r="R7" s="71"/>
      <c r="S7" s="71"/>
      <c r="T7" s="72"/>
      <c r="U7" s="72"/>
      <c r="V7" s="73"/>
      <c r="W7" s="66"/>
      <c r="X7" s="74"/>
      <c r="Y7" s="75" t="s">
        <v>45</v>
      </c>
      <c r="Z7" s="76">
        <v>79</v>
      </c>
      <c r="AA7" s="77">
        <v>4.6399999999999997</v>
      </c>
      <c r="AB7" s="78">
        <v>11500</v>
      </c>
      <c r="AC7" s="76">
        <f t="shared" si="1"/>
        <v>53359.999999999993</v>
      </c>
      <c r="AD7" s="54"/>
      <c r="AE7" s="79" t="s">
        <v>46</v>
      </c>
      <c r="AF7" s="80">
        <v>9</v>
      </c>
      <c r="AG7" s="81">
        <f>2.89-0.3+0.37</f>
        <v>2.9600000000000004</v>
      </c>
      <c r="AH7" s="78">
        <v>25000</v>
      </c>
      <c r="AI7" s="82">
        <f>AG7*AH7</f>
        <v>74000.000000000015</v>
      </c>
      <c r="AK7" s="59"/>
      <c r="AL7" s="60">
        <f t="shared" si="2"/>
        <v>0</v>
      </c>
    </row>
    <row r="8" spans="1:47" s="58" customFormat="1" ht="15">
      <c r="A8" s="61"/>
      <c r="B8" s="62"/>
      <c r="C8" s="63" t="s">
        <v>47</v>
      </c>
      <c r="D8" s="64" t="s">
        <v>48</v>
      </c>
      <c r="E8" s="65"/>
      <c r="F8" s="65"/>
      <c r="G8" s="85" t="s">
        <v>49</v>
      </c>
      <c r="H8" s="86"/>
      <c r="I8" s="87">
        <f>SUM(I5:I7)</f>
        <v>125.3848</v>
      </c>
      <c r="J8" s="88">
        <v>13200</v>
      </c>
      <c r="K8" s="48">
        <f>+I8*J8</f>
        <v>1655079.3599999999</v>
      </c>
      <c r="L8" s="66" t="s">
        <v>31</v>
      </c>
      <c r="M8" s="68">
        <v>11</v>
      </c>
      <c r="N8" s="69">
        <v>3.91</v>
      </c>
      <c r="O8" s="84">
        <v>25486</v>
      </c>
      <c r="P8" s="70" t="s">
        <v>30</v>
      </c>
      <c r="Q8" s="71">
        <f t="shared" si="0"/>
        <v>99650.260000000009</v>
      </c>
      <c r="R8" s="71"/>
      <c r="S8" s="71"/>
      <c r="T8" s="72"/>
      <c r="U8" s="72"/>
      <c r="V8" s="73"/>
      <c r="W8" s="66"/>
      <c r="X8" s="74"/>
      <c r="Y8" s="75" t="s">
        <v>50</v>
      </c>
      <c r="Z8" s="76">
        <v>35</v>
      </c>
      <c r="AA8" s="77">
        <v>3.22</v>
      </c>
      <c r="AB8" s="78">
        <v>15500</v>
      </c>
      <c r="AC8" s="76">
        <f t="shared" si="1"/>
        <v>49910</v>
      </c>
      <c r="AD8" s="54"/>
      <c r="AE8" s="79"/>
      <c r="AF8" s="80"/>
      <c r="AG8" s="81"/>
      <c r="AH8" s="78"/>
      <c r="AI8" s="82"/>
      <c r="AK8" s="59"/>
      <c r="AL8" s="60">
        <f t="shared" si="2"/>
        <v>0</v>
      </c>
    </row>
    <row r="9" spans="1:47" s="58" customFormat="1" ht="15.75" thickBot="1">
      <c r="A9" s="61"/>
      <c r="B9" s="62"/>
      <c r="C9" s="68"/>
      <c r="D9" s="89"/>
      <c r="E9" s="65"/>
      <c r="F9" s="65"/>
      <c r="G9" s="66"/>
      <c r="H9" s="67"/>
      <c r="I9" s="67"/>
      <c r="J9" s="90"/>
      <c r="K9" s="90"/>
      <c r="L9" s="66" t="s">
        <v>51</v>
      </c>
      <c r="M9" s="68"/>
      <c r="N9" s="69">
        <v>30</v>
      </c>
      <c r="O9" s="68">
        <v>425</v>
      </c>
      <c r="P9" s="70" t="s">
        <v>30</v>
      </c>
      <c r="Q9" s="71">
        <f t="shared" si="0"/>
        <v>12750</v>
      </c>
      <c r="R9" s="71"/>
      <c r="S9" s="71"/>
      <c r="T9" s="72"/>
      <c r="U9" s="72"/>
      <c r="V9" s="73"/>
      <c r="W9" s="66"/>
      <c r="X9" s="74"/>
      <c r="Y9" s="75" t="s">
        <v>52</v>
      </c>
      <c r="Z9" s="76">
        <v>8</v>
      </c>
      <c r="AA9" s="77">
        <v>1.06</v>
      </c>
      <c r="AB9" s="78">
        <v>20000</v>
      </c>
      <c r="AC9" s="76">
        <f t="shared" si="1"/>
        <v>21200</v>
      </c>
      <c r="AD9" s="54"/>
      <c r="AE9" s="91" t="s">
        <v>35</v>
      </c>
      <c r="AF9" s="92"/>
      <c r="AG9" s="93">
        <f>+SUM(AG6:AG7)</f>
        <v>3.91</v>
      </c>
      <c r="AH9" s="94">
        <f>+AI9/AG9</f>
        <v>25485.933503836321</v>
      </c>
      <c r="AI9" s="95">
        <f>+SUM(AI6:AI7)</f>
        <v>99650.000000000015</v>
      </c>
      <c r="AK9" s="59"/>
      <c r="AL9" s="60">
        <f t="shared" si="2"/>
        <v>0</v>
      </c>
    </row>
    <row r="10" spans="1:47" s="58" customFormat="1" ht="15">
      <c r="A10" s="61"/>
      <c r="B10" s="62"/>
      <c r="C10" s="68"/>
      <c r="D10" s="96"/>
      <c r="E10" s="65"/>
      <c r="F10" s="65"/>
      <c r="G10" s="66"/>
      <c r="H10" s="97"/>
      <c r="I10" s="97"/>
      <c r="J10" s="66"/>
      <c r="K10" s="71"/>
      <c r="L10" s="66" t="s">
        <v>53</v>
      </c>
      <c r="M10" s="68"/>
      <c r="N10" s="69">
        <v>14.850000000000001</v>
      </c>
      <c r="O10" s="68">
        <v>100</v>
      </c>
      <c r="P10" s="70" t="s">
        <v>30</v>
      </c>
      <c r="Q10" s="71">
        <f t="shared" si="0"/>
        <v>1485.0000000000002</v>
      </c>
      <c r="R10" s="71"/>
      <c r="S10" s="71"/>
      <c r="T10" s="72"/>
      <c r="U10" s="72"/>
      <c r="V10" s="73"/>
      <c r="W10" s="66"/>
      <c r="X10" s="74"/>
      <c r="Y10" s="75" t="s">
        <v>54</v>
      </c>
      <c r="Z10" s="76">
        <v>7</v>
      </c>
      <c r="AA10" s="77">
        <v>1.61</v>
      </c>
      <c r="AB10" s="78">
        <v>24000</v>
      </c>
      <c r="AC10" s="98">
        <f t="shared" si="1"/>
        <v>38640</v>
      </c>
      <c r="AD10" s="54"/>
      <c r="AE10" s="54"/>
      <c r="AF10" s="54"/>
      <c r="AG10" s="54"/>
      <c r="AH10" s="99"/>
      <c r="AI10" s="54"/>
      <c r="AK10" s="59"/>
      <c r="AL10" s="60">
        <f t="shared" si="2"/>
        <v>0</v>
      </c>
    </row>
    <row r="11" spans="1:47" s="58" customFormat="1" ht="15">
      <c r="A11" s="61"/>
      <c r="B11" s="62"/>
      <c r="C11" s="68"/>
      <c r="D11" s="96"/>
      <c r="E11" s="65"/>
      <c r="F11" s="65"/>
      <c r="G11" s="66"/>
      <c r="H11" s="97"/>
      <c r="I11" s="97"/>
      <c r="J11" s="66"/>
      <c r="K11" s="71"/>
      <c r="L11" s="66" t="s">
        <v>55</v>
      </c>
      <c r="M11" s="68"/>
      <c r="N11" s="68">
        <v>36.4</v>
      </c>
      <c r="O11" s="68">
        <v>585</v>
      </c>
      <c r="P11" s="70" t="s">
        <v>30</v>
      </c>
      <c r="Q11" s="71">
        <f t="shared" si="0"/>
        <v>21294</v>
      </c>
      <c r="R11" s="71"/>
      <c r="S11" s="71"/>
      <c r="T11" s="72"/>
      <c r="U11" s="72"/>
      <c r="V11" s="73"/>
      <c r="W11" s="66"/>
      <c r="X11" s="74"/>
      <c r="Y11" s="75" t="s">
        <v>46</v>
      </c>
      <c r="Z11" s="76">
        <v>1</v>
      </c>
      <c r="AA11" s="77">
        <v>0.34</v>
      </c>
      <c r="AB11" s="78">
        <v>33000</v>
      </c>
      <c r="AC11" s="76">
        <f t="shared" si="1"/>
        <v>11220</v>
      </c>
      <c r="AD11" s="54"/>
      <c r="AE11" s="54"/>
      <c r="AF11" s="54"/>
      <c r="AG11" s="54"/>
      <c r="AH11" s="99"/>
      <c r="AI11" s="54"/>
      <c r="AK11" s="59"/>
      <c r="AL11" s="60">
        <f t="shared" si="2"/>
        <v>0</v>
      </c>
    </row>
    <row r="12" spans="1:47" s="58" customFormat="1" ht="15.75" thickBot="1">
      <c r="A12" s="61"/>
      <c r="B12" s="62"/>
      <c r="C12" s="68"/>
      <c r="D12" s="96"/>
      <c r="E12" s="65"/>
      <c r="F12" s="65"/>
      <c r="G12" s="66"/>
      <c r="H12" s="97"/>
      <c r="I12" s="97"/>
      <c r="J12" s="66"/>
      <c r="K12" s="71"/>
      <c r="L12" s="66" t="s">
        <v>56</v>
      </c>
      <c r="M12" s="68">
        <v>120</v>
      </c>
      <c r="N12" s="68">
        <v>11.3</v>
      </c>
      <c r="O12" s="68">
        <v>35</v>
      </c>
      <c r="P12" s="70" t="s">
        <v>14</v>
      </c>
      <c r="Q12" s="71">
        <f>M12*O12</f>
        <v>4200</v>
      </c>
      <c r="R12" s="71"/>
      <c r="S12" s="71"/>
      <c r="T12" s="72"/>
      <c r="U12" s="72"/>
      <c r="V12" s="73"/>
      <c r="W12" s="66"/>
      <c r="X12" s="74"/>
      <c r="Y12" s="100"/>
      <c r="Z12" s="100"/>
      <c r="AA12" s="100"/>
      <c r="AB12" s="101"/>
      <c r="AC12" s="100"/>
      <c r="AD12" s="54"/>
      <c r="AE12" s="54"/>
      <c r="AF12" s="54"/>
      <c r="AG12" s="54"/>
      <c r="AH12" s="99"/>
      <c r="AI12" s="54"/>
      <c r="AK12" s="59"/>
      <c r="AL12" s="60">
        <f t="shared" si="2"/>
        <v>0</v>
      </c>
    </row>
    <row r="13" spans="1:47" s="58" customFormat="1" ht="15.75" thickBot="1">
      <c r="A13" s="61"/>
      <c r="B13" s="62"/>
      <c r="C13" s="68"/>
      <c r="D13" s="96"/>
      <c r="E13" s="65"/>
      <c r="F13" s="65"/>
      <c r="G13" s="66"/>
      <c r="H13" s="97"/>
      <c r="I13" s="97"/>
      <c r="J13" s="66"/>
      <c r="K13" s="71"/>
      <c r="L13" s="66"/>
      <c r="M13" s="68"/>
      <c r="N13" s="68"/>
      <c r="O13" s="68"/>
      <c r="P13" s="70"/>
      <c r="Q13" s="71"/>
      <c r="R13" s="71"/>
      <c r="S13" s="71"/>
      <c r="T13" s="72"/>
      <c r="U13" s="72"/>
      <c r="V13" s="73"/>
      <c r="W13" s="66"/>
      <c r="X13" s="74"/>
      <c r="Y13" s="102" t="s">
        <v>35</v>
      </c>
      <c r="Z13" s="103">
        <f>SUM(Z6:Z11)</f>
        <v>211</v>
      </c>
      <c r="AA13" s="104">
        <f>SUM(AA6:AA11)</f>
        <v>13.43</v>
      </c>
      <c r="AB13" s="105">
        <f>+AC13/AA13</f>
        <v>14410.275502606106</v>
      </c>
      <c r="AC13" s="106">
        <f>SUM(AC6:AC11)</f>
        <v>193530</v>
      </c>
      <c r="AD13" s="54"/>
      <c r="AE13" s="54"/>
      <c r="AF13" s="54"/>
      <c r="AG13" s="54"/>
      <c r="AH13" s="99"/>
      <c r="AI13" s="54"/>
      <c r="AK13" s="59"/>
      <c r="AL13" s="60">
        <f t="shared" si="2"/>
        <v>0</v>
      </c>
    </row>
    <row r="14" spans="1:47" s="58" customFormat="1" ht="14.25">
      <c r="A14" s="61"/>
      <c r="B14" s="107"/>
      <c r="C14" s="68"/>
      <c r="D14" s="96"/>
      <c r="E14" s="65"/>
      <c r="F14" s="65"/>
      <c r="G14" s="66"/>
      <c r="H14" s="67"/>
      <c r="I14" s="68"/>
      <c r="J14" s="65"/>
      <c r="K14" s="71"/>
      <c r="L14" s="66"/>
      <c r="M14" s="68"/>
      <c r="N14" s="68"/>
      <c r="O14" s="68"/>
      <c r="P14" s="70"/>
      <c r="Q14" s="71"/>
      <c r="R14" s="71"/>
      <c r="S14" s="71"/>
      <c r="T14" s="72"/>
      <c r="U14" s="72"/>
      <c r="V14" s="73"/>
      <c r="W14" s="66"/>
      <c r="X14" s="74"/>
      <c r="Y14" s="54"/>
      <c r="Z14" s="54"/>
      <c r="AA14" s="54"/>
      <c r="AB14" s="99"/>
      <c r="AC14" s="54"/>
      <c r="AD14" s="54"/>
      <c r="AE14" s="54"/>
      <c r="AF14" s="54"/>
      <c r="AG14" s="54"/>
      <c r="AH14" s="99"/>
      <c r="AI14" s="54"/>
      <c r="AK14" s="59"/>
      <c r="AL14" s="60">
        <f t="shared" si="2"/>
        <v>0</v>
      </c>
    </row>
    <row r="15" spans="1:47" s="58" customFormat="1" ht="15" thickBot="1">
      <c r="A15" s="108"/>
      <c r="B15" s="109"/>
      <c r="C15" s="110"/>
      <c r="D15" s="111"/>
      <c r="E15" s="112"/>
      <c r="F15" s="112"/>
      <c r="G15" s="109"/>
      <c r="H15" s="110"/>
      <c r="I15" s="110"/>
      <c r="J15" s="109"/>
      <c r="K15" s="113"/>
      <c r="L15" s="109"/>
      <c r="M15" s="110"/>
      <c r="N15" s="110"/>
      <c r="O15" s="110"/>
      <c r="P15" s="114"/>
      <c r="Q15" s="113"/>
      <c r="R15" s="113"/>
      <c r="S15" s="113"/>
      <c r="T15" s="72"/>
      <c r="U15" s="72"/>
      <c r="V15" s="73"/>
      <c r="W15" s="66"/>
      <c r="X15" s="74"/>
      <c r="Y15" s="54"/>
      <c r="Z15" s="54"/>
      <c r="AA15" s="54"/>
      <c r="AB15" s="99"/>
      <c r="AC15" s="54"/>
      <c r="AD15" s="54"/>
      <c r="AE15" s="54"/>
      <c r="AF15" s="54"/>
      <c r="AG15" s="54"/>
      <c r="AH15" s="99"/>
      <c r="AI15" s="54"/>
      <c r="AK15" s="59"/>
      <c r="AL15" s="60">
        <f t="shared" si="2"/>
        <v>0</v>
      </c>
    </row>
    <row r="16" spans="1:47" s="58" customFormat="1" ht="15.75" thickBot="1">
      <c r="A16" s="35">
        <v>2</v>
      </c>
      <c r="B16" s="36"/>
      <c r="C16" s="37" t="s">
        <v>57</v>
      </c>
      <c r="D16" s="38"/>
      <c r="E16" s="39">
        <f>D18-((SUM(N16:N25)/5)+(SUM(H16:H19)+F16))</f>
        <v>1.5790000000000006</v>
      </c>
      <c r="F16" s="40"/>
      <c r="G16" s="41" t="s">
        <v>28</v>
      </c>
      <c r="H16" s="42">
        <v>23.98</v>
      </c>
      <c r="I16" s="42">
        <f>H16*88%</f>
        <v>21.102399999999999</v>
      </c>
      <c r="J16" s="40"/>
      <c r="K16" s="40"/>
      <c r="L16" s="41" t="s">
        <v>29</v>
      </c>
      <c r="M16" s="44">
        <v>172</v>
      </c>
      <c r="N16" s="45">
        <v>2.82</v>
      </c>
      <c r="O16" s="44">
        <v>23500</v>
      </c>
      <c r="P16" s="46" t="s">
        <v>30</v>
      </c>
      <c r="Q16" s="43">
        <f t="shared" ref="Q16:Q21" si="3">N16*O16</f>
        <v>66270</v>
      </c>
      <c r="R16" s="41"/>
      <c r="S16" s="43"/>
      <c r="T16" s="47"/>
      <c r="U16" s="48">
        <f>(SUM(Q16:S24)+SUM(K16:K24))*T16</f>
        <v>0</v>
      </c>
      <c r="V16" s="49">
        <f>SUM(Q16:U24)+SUM(K16:K24)</f>
        <v>439654.49</v>
      </c>
      <c r="W16" s="50">
        <f>(V16*145%)/100</f>
        <v>6374.9901049999999</v>
      </c>
      <c r="X16" s="51">
        <v>3100</v>
      </c>
      <c r="Y16" s="52" t="s">
        <v>31</v>
      </c>
      <c r="Z16" s="52"/>
      <c r="AA16" s="52"/>
      <c r="AB16" s="52"/>
      <c r="AC16" s="53"/>
      <c r="AD16" s="54"/>
      <c r="AE16" s="55"/>
      <c r="AF16" s="56" t="s">
        <v>32</v>
      </c>
      <c r="AG16" s="56" t="s">
        <v>33</v>
      </c>
      <c r="AH16" s="56" t="s">
        <v>34</v>
      </c>
      <c r="AI16" s="57" t="s">
        <v>35</v>
      </c>
      <c r="AK16" s="59">
        <v>452398.90400000004</v>
      </c>
      <c r="AL16" s="60">
        <f t="shared" si="2"/>
        <v>-12744.414000000048</v>
      </c>
      <c r="AP16" s="58" t="str">
        <f>+C16</f>
        <v>BCF0010</v>
      </c>
      <c r="AQ16" s="58" t="str">
        <f>+D17</f>
        <v>EARRING</v>
      </c>
      <c r="AR16" s="120">
        <f>+D18</f>
        <v>33.700000000000003</v>
      </c>
      <c r="AS16" s="58" t="str">
        <f>+D19</f>
        <v>18K</v>
      </c>
      <c r="AT16" s="140">
        <f>+I19</f>
        <v>21.6724</v>
      </c>
      <c r="AU16" s="119">
        <f>+X16</f>
        <v>3100</v>
      </c>
    </row>
    <row r="17" spans="1:38" s="58" customFormat="1" ht="15">
      <c r="A17" s="61"/>
      <c r="B17" s="62"/>
      <c r="C17" s="63" t="s">
        <v>36</v>
      </c>
      <c r="D17" s="64" t="s">
        <v>58</v>
      </c>
      <c r="E17" s="65"/>
      <c r="F17" s="65"/>
      <c r="G17" s="66" t="s">
        <v>38</v>
      </c>
      <c r="H17" s="67">
        <f>I17*100/120</f>
        <v>0.47499999999999992</v>
      </c>
      <c r="I17" s="67">
        <v>0.56999999999999995</v>
      </c>
      <c r="J17" s="65"/>
      <c r="K17" s="65"/>
      <c r="L17" s="66" t="s">
        <v>39</v>
      </c>
      <c r="M17" s="68">
        <v>6</v>
      </c>
      <c r="N17" s="69">
        <v>9.81</v>
      </c>
      <c r="O17" s="68">
        <v>3650</v>
      </c>
      <c r="P17" s="70" t="s">
        <v>30</v>
      </c>
      <c r="Q17" s="71">
        <f t="shared" si="3"/>
        <v>35806.5</v>
      </c>
      <c r="R17" s="71" t="s">
        <v>40</v>
      </c>
      <c r="S17" s="71">
        <v>500</v>
      </c>
      <c r="T17" s="72"/>
      <c r="U17" s="72"/>
      <c r="V17" s="73"/>
      <c r="W17" s="66"/>
      <c r="X17" s="74"/>
      <c r="Y17" s="75" t="s">
        <v>41</v>
      </c>
      <c r="Z17" s="76">
        <v>18</v>
      </c>
      <c r="AA17" s="77">
        <v>0.75</v>
      </c>
      <c r="AB17" s="78">
        <v>7500</v>
      </c>
      <c r="AC17" s="98">
        <f>+AA17*AB17</f>
        <v>5625</v>
      </c>
      <c r="AD17" s="54"/>
      <c r="AE17" s="79" t="s">
        <v>42</v>
      </c>
      <c r="AF17" s="80">
        <v>2</v>
      </c>
      <c r="AG17" s="81">
        <v>0.82</v>
      </c>
      <c r="AH17" s="78">
        <v>27000</v>
      </c>
      <c r="AI17" s="82">
        <f>AG17*AH17</f>
        <v>22140</v>
      </c>
      <c r="AK17" s="59"/>
      <c r="AL17" s="60">
        <f t="shared" si="2"/>
        <v>0</v>
      </c>
    </row>
    <row r="18" spans="1:38" s="58" customFormat="1" ht="15">
      <c r="A18" s="61"/>
      <c r="B18" s="62"/>
      <c r="C18" s="63" t="s">
        <v>43</v>
      </c>
      <c r="D18" s="83">
        <v>33.700000000000003</v>
      </c>
      <c r="E18" s="65"/>
      <c r="F18" s="65"/>
      <c r="G18" s="66"/>
      <c r="H18" s="67"/>
      <c r="I18" s="67"/>
      <c r="J18" s="65"/>
      <c r="K18" s="65"/>
      <c r="L18" s="66" t="s">
        <v>44</v>
      </c>
      <c r="M18" s="68"/>
      <c r="N18" s="69">
        <v>1.53</v>
      </c>
      <c r="O18" s="84">
        <v>12402</v>
      </c>
      <c r="P18" s="70" t="s">
        <v>30</v>
      </c>
      <c r="Q18" s="71">
        <f t="shared" si="3"/>
        <v>18975.060000000001</v>
      </c>
      <c r="R18" s="71"/>
      <c r="S18" s="71"/>
      <c r="T18" s="72"/>
      <c r="U18" s="72"/>
      <c r="V18" s="73"/>
      <c r="W18" s="66"/>
      <c r="X18" s="74"/>
      <c r="Y18" s="75" t="s">
        <v>50</v>
      </c>
      <c r="Z18" s="76">
        <v>6</v>
      </c>
      <c r="AA18" s="77">
        <v>0.5</v>
      </c>
      <c r="AB18" s="78">
        <v>15500</v>
      </c>
      <c r="AC18" s="98">
        <f>+AA18*AB18</f>
        <v>7750</v>
      </c>
      <c r="AD18" s="54"/>
      <c r="AH18" s="115"/>
      <c r="AK18" s="59"/>
      <c r="AL18" s="60">
        <f t="shared" si="2"/>
        <v>0</v>
      </c>
    </row>
    <row r="19" spans="1:38" s="58" customFormat="1" ht="15.75" thickBot="1">
      <c r="A19" s="61"/>
      <c r="B19" s="62"/>
      <c r="C19" s="63" t="s">
        <v>47</v>
      </c>
      <c r="D19" s="64" t="s">
        <v>48</v>
      </c>
      <c r="E19" s="65"/>
      <c r="F19" s="65"/>
      <c r="G19" s="85" t="s">
        <v>49</v>
      </c>
      <c r="H19" s="86"/>
      <c r="I19" s="87">
        <f>SUM(I16:I18)</f>
        <v>21.6724</v>
      </c>
      <c r="J19" s="88">
        <v>13200</v>
      </c>
      <c r="K19" s="48">
        <f>+I19*J19</f>
        <v>286075.68</v>
      </c>
      <c r="L19" s="66" t="s">
        <v>44</v>
      </c>
      <c r="M19" s="68"/>
      <c r="N19" s="69">
        <v>0.82</v>
      </c>
      <c r="O19" s="84">
        <v>27000</v>
      </c>
      <c r="P19" s="70" t="s">
        <v>30</v>
      </c>
      <c r="Q19" s="71">
        <f t="shared" si="3"/>
        <v>22140</v>
      </c>
      <c r="R19" s="66"/>
      <c r="S19" s="66"/>
      <c r="T19" s="72"/>
      <c r="U19" s="72"/>
      <c r="V19" s="73"/>
      <c r="W19" s="66"/>
      <c r="X19" s="74"/>
      <c r="Y19" s="75" t="s">
        <v>52</v>
      </c>
      <c r="Z19" s="76">
        <v>2</v>
      </c>
      <c r="AA19" s="77">
        <v>0.28000000000000003</v>
      </c>
      <c r="AB19" s="78">
        <v>20000</v>
      </c>
      <c r="AC19" s="98">
        <f>+AA19*AB19</f>
        <v>5600.0000000000009</v>
      </c>
      <c r="AD19" s="54"/>
      <c r="AE19" s="91" t="s">
        <v>35</v>
      </c>
      <c r="AF19" s="92">
        <v>2</v>
      </c>
      <c r="AG19" s="93">
        <f>+SUM(AG17:AG17)</f>
        <v>0.82</v>
      </c>
      <c r="AH19" s="94">
        <f>+AI19/AG19</f>
        <v>27000</v>
      </c>
      <c r="AI19" s="95">
        <f>+SUM(AI17:AI17)</f>
        <v>22140</v>
      </c>
      <c r="AK19" s="59"/>
      <c r="AL19" s="60">
        <f t="shared" si="2"/>
        <v>0</v>
      </c>
    </row>
    <row r="20" spans="1:38" s="58" customFormat="1" ht="15.75" thickBot="1">
      <c r="A20" s="61"/>
      <c r="B20" s="62"/>
      <c r="C20" s="68"/>
      <c r="D20" s="89"/>
      <c r="E20" s="65"/>
      <c r="F20" s="65"/>
      <c r="G20" s="66"/>
      <c r="H20" s="67"/>
      <c r="I20" s="67"/>
      <c r="J20" s="90"/>
      <c r="K20" s="90"/>
      <c r="L20" s="66" t="s">
        <v>53</v>
      </c>
      <c r="M20" s="68"/>
      <c r="N20" s="69">
        <v>5.9499999999999993</v>
      </c>
      <c r="O20" s="68">
        <v>100</v>
      </c>
      <c r="P20" s="70" t="s">
        <v>30</v>
      </c>
      <c r="Q20" s="71">
        <f t="shared" si="3"/>
        <v>594.99999999999989</v>
      </c>
      <c r="R20" s="71"/>
      <c r="S20" s="71"/>
      <c r="T20" s="72"/>
      <c r="U20" s="72"/>
      <c r="V20" s="73"/>
      <c r="W20" s="66"/>
      <c r="X20" s="74"/>
      <c r="Y20" s="100"/>
      <c r="Z20" s="100"/>
      <c r="AA20" s="100"/>
      <c r="AB20" s="101"/>
      <c r="AC20" s="116"/>
      <c r="AD20" s="54"/>
      <c r="AH20" s="115"/>
      <c r="AK20" s="59"/>
      <c r="AL20" s="60">
        <f t="shared" si="2"/>
        <v>0</v>
      </c>
    </row>
    <row r="21" spans="1:38" s="58" customFormat="1" ht="15.75" thickBot="1">
      <c r="A21" s="61"/>
      <c r="B21" s="62"/>
      <c r="C21" s="68"/>
      <c r="D21" s="96"/>
      <c r="E21" s="65"/>
      <c r="F21" s="65"/>
      <c r="G21" s="66"/>
      <c r="H21" s="97"/>
      <c r="I21" s="97"/>
      <c r="J21" s="66"/>
      <c r="K21" s="71"/>
      <c r="L21" s="66" t="s">
        <v>55</v>
      </c>
      <c r="M21" s="68"/>
      <c r="N21" s="69">
        <v>13.85</v>
      </c>
      <c r="O21" s="68">
        <v>585</v>
      </c>
      <c r="P21" s="70" t="s">
        <v>30</v>
      </c>
      <c r="Q21" s="71">
        <f t="shared" si="3"/>
        <v>8102.25</v>
      </c>
      <c r="R21" s="71"/>
      <c r="S21" s="71"/>
      <c r="T21" s="72"/>
      <c r="U21" s="72"/>
      <c r="V21" s="73"/>
      <c r="W21" s="66"/>
      <c r="X21" s="74"/>
      <c r="Y21" s="102" t="s">
        <v>35</v>
      </c>
      <c r="Z21" s="103">
        <f>SUM(Z17:Z19)</f>
        <v>26</v>
      </c>
      <c r="AA21" s="104">
        <f>SUM(AA17:AA19)</f>
        <v>1.53</v>
      </c>
      <c r="AB21" s="105">
        <f>+AC21/AA21</f>
        <v>12401.960784313726</v>
      </c>
      <c r="AC21" s="106">
        <f>SUM(AC17:AC19)</f>
        <v>18975</v>
      </c>
      <c r="AD21" s="54"/>
      <c r="AE21" s="54"/>
      <c r="AF21" s="54"/>
      <c r="AG21" s="54"/>
      <c r="AH21" s="99"/>
      <c r="AI21" s="54"/>
      <c r="AK21" s="59"/>
      <c r="AL21" s="60">
        <f t="shared" si="2"/>
        <v>0</v>
      </c>
    </row>
    <row r="22" spans="1:38" s="58" customFormat="1" ht="14.25">
      <c r="A22" s="61"/>
      <c r="B22" s="62"/>
      <c r="C22" s="68"/>
      <c r="D22" s="96"/>
      <c r="E22" s="65"/>
      <c r="F22" s="65"/>
      <c r="G22" s="66"/>
      <c r="H22" s="97"/>
      <c r="I22" s="97"/>
      <c r="J22" s="66"/>
      <c r="K22" s="71"/>
      <c r="L22" s="66" t="s">
        <v>56</v>
      </c>
      <c r="M22" s="68">
        <v>34</v>
      </c>
      <c r="N22" s="68">
        <v>3.55</v>
      </c>
      <c r="O22" s="68">
        <v>35</v>
      </c>
      <c r="P22" s="70" t="s">
        <v>14</v>
      </c>
      <c r="Q22" s="71">
        <f>M22*O22</f>
        <v>1190</v>
      </c>
      <c r="R22" s="71"/>
      <c r="S22" s="71"/>
      <c r="T22" s="72"/>
      <c r="U22" s="72"/>
      <c r="V22" s="73"/>
      <c r="W22" s="66"/>
      <c r="X22" s="74"/>
      <c r="Y22" s="54"/>
      <c r="Z22" s="54"/>
      <c r="AA22" s="54"/>
      <c r="AB22" s="99"/>
      <c r="AC22" s="54"/>
      <c r="AD22" s="54"/>
      <c r="AE22" s="54"/>
      <c r="AF22" s="54"/>
      <c r="AG22" s="54"/>
      <c r="AH22" s="99"/>
      <c r="AI22" s="54"/>
      <c r="AK22" s="59"/>
      <c r="AL22" s="60">
        <f t="shared" si="2"/>
        <v>0</v>
      </c>
    </row>
    <row r="23" spans="1:38" s="58" customFormat="1" ht="14.25">
      <c r="A23" s="61"/>
      <c r="B23" s="62"/>
      <c r="C23" s="68"/>
      <c r="D23" s="96"/>
      <c r="E23" s="65"/>
      <c r="F23" s="65"/>
      <c r="G23" s="66"/>
      <c r="H23" s="97"/>
      <c r="I23" s="97"/>
      <c r="J23" s="66"/>
      <c r="K23" s="71"/>
      <c r="L23" s="66"/>
      <c r="M23" s="68"/>
      <c r="N23" s="68"/>
      <c r="O23" s="68"/>
      <c r="P23" s="70"/>
      <c r="Q23" s="71"/>
      <c r="R23" s="71"/>
      <c r="S23" s="71"/>
      <c r="T23" s="72"/>
      <c r="U23" s="72"/>
      <c r="V23" s="73"/>
      <c r="W23" s="66"/>
      <c r="X23" s="74"/>
      <c r="Y23" s="54"/>
      <c r="Z23" s="54"/>
      <c r="AA23" s="54"/>
      <c r="AB23" s="99"/>
      <c r="AC23" s="54"/>
      <c r="AD23" s="54"/>
      <c r="AE23" s="54"/>
      <c r="AF23" s="54"/>
      <c r="AG23" s="54"/>
      <c r="AH23" s="99"/>
      <c r="AI23" s="54"/>
      <c r="AK23" s="59"/>
      <c r="AL23" s="60">
        <f t="shared" si="2"/>
        <v>0</v>
      </c>
    </row>
    <row r="24" spans="1:38" s="58" customFormat="1" ht="14.25">
      <c r="A24" s="61"/>
      <c r="B24" s="62"/>
      <c r="C24" s="68"/>
      <c r="D24" s="96"/>
      <c r="E24" s="65"/>
      <c r="F24" s="65"/>
      <c r="G24" s="66"/>
      <c r="H24" s="97"/>
      <c r="I24" s="97"/>
      <c r="J24" s="66"/>
      <c r="K24" s="71"/>
      <c r="L24" s="66"/>
      <c r="M24" s="68"/>
      <c r="N24" s="68"/>
      <c r="O24" s="68"/>
      <c r="P24" s="70"/>
      <c r="Q24" s="71"/>
      <c r="R24" s="71"/>
      <c r="S24" s="71"/>
      <c r="T24" s="72"/>
      <c r="U24" s="72"/>
      <c r="V24" s="73"/>
      <c r="W24" s="66"/>
      <c r="X24" s="74"/>
      <c r="Y24" s="54"/>
      <c r="Z24" s="54"/>
      <c r="AA24" s="54"/>
      <c r="AB24" s="99"/>
      <c r="AC24" s="54"/>
      <c r="AD24" s="54"/>
      <c r="AE24" s="54"/>
      <c r="AF24" s="54"/>
      <c r="AG24" s="54"/>
      <c r="AH24" s="99"/>
      <c r="AI24" s="54"/>
      <c r="AK24" s="59"/>
      <c r="AL24" s="60">
        <f t="shared" si="2"/>
        <v>0</v>
      </c>
    </row>
    <row r="25" spans="1:38" s="58" customFormat="1" ht="14.25">
      <c r="A25" s="61"/>
      <c r="B25" s="107"/>
      <c r="C25" s="68"/>
      <c r="D25" s="96"/>
      <c r="E25" s="65"/>
      <c r="F25" s="65"/>
      <c r="G25" s="66"/>
      <c r="H25" s="67"/>
      <c r="I25" s="68"/>
      <c r="J25" s="65"/>
      <c r="K25" s="71"/>
      <c r="L25" s="66"/>
      <c r="M25" s="68"/>
      <c r="N25" s="68"/>
      <c r="O25" s="68"/>
      <c r="P25" s="70"/>
      <c r="Q25" s="71"/>
      <c r="R25" s="71"/>
      <c r="S25" s="71"/>
      <c r="T25" s="72"/>
      <c r="U25" s="72"/>
      <c r="V25" s="73"/>
      <c r="W25" s="66"/>
      <c r="X25" s="74"/>
      <c r="Y25" s="54"/>
      <c r="Z25" s="54"/>
      <c r="AA25" s="54"/>
      <c r="AB25" s="99"/>
      <c r="AC25" s="54"/>
      <c r="AD25" s="54"/>
      <c r="AE25" s="54"/>
      <c r="AF25" s="54"/>
      <c r="AG25" s="54"/>
      <c r="AH25" s="99"/>
      <c r="AI25" s="54"/>
      <c r="AK25" s="59"/>
      <c r="AL25" s="60">
        <f t="shared" si="2"/>
        <v>0</v>
      </c>
    </row>
    <row r="26" spans="1:38" s="58" customFormat="1" ht="14.25">
      <c r="A26" s="108"/>
      <c r="B26" s="109"/>
      <c r="C26" s="110"/>
      <c r="D26" s="111"/>
      <c r="E26" s="112"/>
      <c r="F26" s="112"/>
      <c r="G26" s="109"/>
      <c r="H26" s="110"/>
      <c r="I26" s="110"/>
      <c r="J26" s="109"/>
      <c r="K26" s="113"/>
      <c r="L26" s="109"/>
      <c r="M26" s="110"/>
      <c r="N26" s="110"/>
      <c r="O26" s="110"/>
      <c r="P26" s="114"/>
      <c r="Q26" s="113"/>
      <c r="R26" s="113"/>
      <c r="S26" s="113"/>
      <c r="T26" s="117"/>
      <c r="U26" s="117"/>
      <c r="V26" s="118"/>
      <c r="W26" s="109"/>
      <c r="X26" s="121"/>
      <c r="Y26" s="54"/>
      <c r="Z26" s="54"/>
      <c r="AA26" s="54"/>
      <c r="AB26" s="99"/>
      <c r="AC26" s="54"/>
      <c r="AD26" s="54"/>
      <c r="AE26" s="54"/>
      <c r="AF26" s="54"/>
      <c r="AG26" s="54"/>
      <c r="AH26" s="99"/>
      <c r="AI26" s="54"/>
      <c r="AK26" s="59"/>
      <c r="AL26" s="60">
        <f t="shared" si="2"/>
        <v>0</v>
      </c>
    </row>
  </sheetData>
  <mergeCells count="11">
    <mergeCell ref="Y4:AI4"/>
    <mergeCell ref="B5:B13"/>
    <mergeCell ref="Y5:AC5"/>
    <mergeCell ref="B16:B24"/>
    <mergeCell ref="Y16:AC16"/>
    <mergeCell ref="A1:U1"/>
    <mergeCell ref="A2:U2"/>
    <mergeCell ref="A3:D3"/>
    <mergeCell ref="G3:K3"/>
    <mergeCell ref="L3:Q3"/>
    <mergeCell ref="B4:D4"/>
  </mergeCells>
  <pageMargins left="0.15748031496063" right="0.15748031496063" top="0.23" bottom="0.41" header="0.04" footer="0.14000000000000001"/>
  <pageSetup paperSize="9" scale="4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F22" sqref="F22"/>
    </sheetView>
  </sheetViews>
  <sheetFormatPr defaultRowHeight="15"/>
  <sheetData>
    <row r="1" spans="1:6">
      <c r="A1" t="s">
        <v>83</v>
      </c>
      <c r="B1" t="s">
        <v>84</v>
      </c>
      <c r="C1" t="s">
        <v>85</v>
      </c>
      <c r="D1" t="s">
        <v>47</v>
      </c>
      <c r="E1" s="141" t="s">
        <v>80</v>
      </c>
      <c r="F1" t="s">
        <v>86</v>
      </c>
    </row>
    <row r="2" spans="1:6">
      <c r="A2" t="s">
        <v>27</v>
      </c>
      <c r="B2" t="s">
        <v>37</v>
      </c>
      <c r="C2">
        <v>203.16</v>
      </c>
      <c r="D2" t="s">
        <v>48</v>
      </c>
      <c r="E2" s="141">
        <v>125.3848</v>
      </c>
      <c r="F2">
        <v>35400</v>
      </c>
    </row>
    <row r="3" spans="1:6">
      <c r="A3" t="s">
        <v>57</v>
      </c>
      <c r="B3" t="s">
        <v>58</v>
      </c>
      <c r="C3">
        <v>33.700000000000003</v>
      </c>
      <c r="D3" t="s">
        <v>48</v>
      </c>
      <c r="E3" s="141">
        <v>21.6724</v>
      </c>
      <c r="F3">
        <v>3100</v>
      </c>
    </row>
    <row r="4" spans="1:6">
      <c r="A4" t="s">
        <v>59</v>
      </c>
      <c r="B4" t="s">
        <v>60</v>
      </c>
      <c r="C4">
        <v>115.26</v>
      </c>
      <c r="D4" t="s">
        <v>48</v>
      </c>
      <c r="E4" s="141">
        <v>65.818399999999997</v>
      </c>
      <c r="F4">
        <v>26600</v>
      </c>
    </row>
    <row r="5" spans="1:6">
      <c r="A5" t="s">
        <v>61</v>
      </c>
      <c r="B5" t="s">
        <v>37</v>
      </c>
      <c r="C5">
        <v>138.07</v>
      </c>
      <c r="D5" t="s">
        <v>62</v>
      </c>
      <c r="E5" s="141">
        <v>55.676479999999998</v>
      </c>
      <c r="F5">
        <v>21100</v>
      </c>
    </row>
    <row r="6" spans="1:6">
      <c r="A6" t="s">
        <v>63</v>
      </c>
      <c r="B6" t="s">
        <v>58</v>
      </c>
      <c r="C6">
        <v>30.92</v>
      </c>
      <c r="D6" t="s">
        <v>62</v>
      </c>
      <c r="E6" s="141">
        <v>15.23592</v>
      </c>
      <c r="F6">
        <v>5300</v>
      </c>
    </row>
    <row r="7" spans="1:6">
      <c r="A7" t="s">
        <v>64</v>
      </c>
      <c r="B7" t="s">
        <v>65</v>
      </c>
      <c r="C7">
        <v>247.71</v>
      </c>
      <c r="D7" t="s">
        <v>62</v>
      </c>
      <c r="E7" s="141">
        <v>0</v>
      </c>
      <c r="F7">
        <v>37300</v>
      </c>
    </row>
    <row r="8" spans="1:6">
      <c r="A8" t="s">
        <v>66</v>
      </c>
      <c r="B8" t="s">
        <v>67</v>
      </c>
      <c r="C8">
        <v>78.34</v>
      </c>
      <c r="D8" t="s">
        <v>62</v>
      </c>
      <c r="E8" s="141">
        <v>0</v>
      </c>
      <c r="F8">
        <v>12200</v>
      </c>
    </row>
    <row r="9" spans="1:6">
      <c r="A9" t="s">
        <v>68</v>
      </c>
      <c r="B9" t="s">
        <v>69</v>
      </c>
      <c r="C9">
        <v>289.16000000000003</v>
      </c>
      <c r="D9" t="s">
        <v>48</v>
      </c>
      <c r="E9" s="141">
        <v>0</v>
      </c>
      <c r="F9">
        <v>38700</v>
      </c>
    </row>
    <row r="10" spans="1:6">
      <c r="A10" t="s">
        <v>70</v>
      </c>
      <c r="B10" t="s">
        <v>58</v>
      </c>
      <c r="C10">
        <v>58.23</v>
      </c>
      <c r="D10" t="s">
        <v>48</v>
      </c>
      <c r="E10" s="141">
        <v>0</v>
      </c>
      <c r="F10">
        <v>8000</v>
      </c>
    </row>
    <row r="11" spans="1:6">
      <c r="A11" t="s">
        <v>71</v>
      </c>
      <c r="B11" t="s">
        <v>65</v>
      </c>
      <c r="C11">
        <v>259.27</v>
      </c>
      <c r="D11" t="s">
        <v>62</v>
      </c>
      <c r="E11" s="141">
        <v>105.42095999999999</v>
      </c>
      <c r="F11">
        <v>41600</v>
      </c>
    </row>
    <row r="12" spans="1:6">
      <c r="A12" t="s">
        <v>72</v>
      </c>
      <c r="B12" t="s">
        <v>67</v>
      </c>
      <c r="C12">
        <v>55.67</v>
      </c>
      <c r="D12" t="s">
        <v>62</v>
      </c>
      <c r="E12" s="141">
        <v>25.66656</v>
      </c>
      <c r="F12">
        <v>9000</v>
      </c>
    </row>
    <row r="13" spans="1:6">
      <c r="A13" t="s">
        <v>73</v>
      </c>
      <c r="B13" t="s">
        <v>74</v>
      </c>
      <c r="C13">
        <v>110.93</v>
      </c>
      <c r="D13" t="s">
        <v>62</v>
      </c>
      <c r="E13" s="141">
        <v>0</v>
      </c>
      <c r="F13">
        <v>12600</v>
      </c>
    </row>
    <row r="14" spans="1:6">
      <c r="A14" t="s">
        <v>75</v>
      </c>
      <c r="B14" t="s">
        <v>69</v>
      </c>
      <c r="C14">
        <v>242.82</v>
      </c>
      <c r="D14" t="s">
        <v>48</v>
      </c>
      <c r="E14" s="141">
        <v>37.15</v>
      </c>
      <c r="F14">
        <v>30400</v>
      </c>
    </row>
    <row r="15" spans="1:6">
      <c r="A15" t="s">
        <v>76</v>
      </c>
      <c r="B15" t="s">
        <v>58</v>
      </c>
      <c r="C15">
        <v>46.84</v>
      </c>
      <c r="D15" t="s">
        <v>48</v>
      </c>
      <c r="E15" s="141">
        <v>5.25</v>
      </c>
      <c r="F15">
        <v>7200</v>
      </c>
    </row>
    <row r="16" spans="1:6">
      <c r="A16" t="s">
        <v>77</v>
      </c>
      <c r="B16" t="s">
        <v>78</v>
      </c>
      <c r="C16">
        <v>13.25</v>
      </c>
      <c r="D16" t="s">
        <v>62</v>
      </c>
      <c r="E16" s="141">
        <v>0</v>
      </c>
      <c r="F16">
        <v>3300</v>
      </c>
    </row>
    <row r="17" spans="1:6">
      <c r="A17" t="s">
        <v>79</v>
      </c>
      <c r="B17" t="s">
        <v>58</v>
      </c>
      <c r="C17">
        <v>4.6100000000000003</v>
      </c>
      <c r="D17" t="s">
        <v>62</v>
      </c>
      <c r="E17" s="141">
        <v>0</v>
      </c>
      <c r="F17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zoomScale="235" zoomScaleNormal="235" workbookViewId="0">
      <selection sqref="A1:B1"/>
    </sheetView>
  </sheetViews>
  <sheetFormatPr defaultRowHeight="15"/>
  <cols>
    <col min="3" max="3" width="0.7109375" customWidth="1"/>
    <col min="5" max="5" width="10.7109375" customWidth="1"/>
  </cols>
  <sheetData>
    <row r="1" spans="1:5" ht="15.75">
      <c r="A1" s="129" t="s">
        <v>27</v>
      </c>
      <c r="B1" s="130"/>
      <c r="C1" s="131"/>
      <c r="D1" s="132" t="s">
        <v>80</v>
      </c>
      <c r="E1" s="133">
        <v>125.38500000000001</v>
      </c>
    </row>
    <row r="2" spans="1:5" ht="15" customHeight="1">
      <c r="A2" s="66" t="s">
        <v>36</v>
      </c>
      <c r="B2" s="122" t="s">
        <v>37</v>
      </c>
      <c r="C2" s="125"/>
      <c r="D2" s="134"/>
      <c r="E2" s="135"/>
    </row>
    <row r="3" spans="1:5" ht="15" customHeight="1">
      <c r="A3" s="66" t="s">
        <v>43</v>
      </c>
      <c r="B3" s="123">
        <v>203.16</v>
      </c>
      <c r="C3" s="125"/>
      <c r="D3" s="136" t="s">
        <v>81</v>
      </c>
      <c r="E3" s="137"/>
    </row>
    <row r="4" spans="1:5" ht="15" customHeight="1">
      <c r="A4" s="109" t="s">
        <v>47</v>
      </c>
      <c r="B4" s="124" t="s">
        <v>48</v>
      </c>
      <c r="C4" s="126"/>
      <c r="D4" s="138"/>
      <c r="E4" s="139"/>
    </row>
    <row r="6" spans="1:5" ht="15.75">
      <c r="A6" s="129" t="s">
        <v>57</v>
      </c>
      <c r="B6" s="130"/>
      <c r="C6" s="131"/>
      <c r="D6" s="132" t="s">
        <v>80</v>
      </c>
      <c r="E6" s="133">
        <v>21.672000000000001</v>
      </c>
    </row>
    <row r="7" spans="1:5">
      <c r="A7" s="66" t="s">
        <v>36</v>
      </c>
      <c r="B7" s="122" t="s">
        <v>58</v>
      </c>
      <c r="C7" s="125"/>
      <c r="D7" s="134"/>
      <c r="E7" s="135"/>
    </row>
    <row r="8" spans="1:5">
      <c r="A8" s="66" t="s">
        <v>43</v>
      </c>
      <c r="B8" s="123">
        <v>33.700000000000003</v>
      </c>
      <c r="C8" s="125"/>
      <c r="D8" s="136" t="s">
        <v>82</v>
      </c>
      <c r="E8" s="137"/>
    </row>
    <row r="9" spans="1:5">
      <c r="A9" s="109" t="s">
        <v>47</v>
      </c>
      <c r="B9" s="124" t="s">
        <v>48</v>
      </c>
      <c r="C9" s="126"/>
      <c r="D9" s="138"/>
      <c r="E9" s="139"/>
    </row>
  </sheetData>
  <mergeCells count="8">
    <mergeCell ref="D8:E9"/>
    <mergeCell ref="A1:B1"/>
    <mergeCell ref="D1:D2"/>
    <mergeCell ref="E1:E2"/>
    <mergeCell ref="D3:E4"/>
    <mergeCell ref="A6:B6"/>
    <mergeCell ref="D6:D7"/>
    <mergeCell ref="E6:E7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</vt:lpstr>
      <vt:lpstr>Sheet3</vt:lpstr>
      <vt:lpstr>TAG</vt:lpstr>
      <vt:lpstr>SAMPLE!Print_Titles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2025-12-15T09:09:34Z</dcterms:created>
  <dcterms:modified xsi:type="dcterms:W3CDTF">2025-12-15T09:28:19Z</dcterms:modified>
</cp:coreProperties>
</file>